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aa-my.sharepoint.com/personal/carlos_arevalo_edu_uaa_mx/Documents/01 - DOCENCIA/00 - MATERIAS POR AÑO/2024/00 - ENERO - JUNIO/02 - MODELADO DE REQUERIMIENTOS/08 - CURSO 2023/01 - MODELADO DE REQUERIMIENTOS/"/>
    </mc:Choice>
  </mc:AlternateContent>
  <xr:revisionPtr revIDLastSave="517" documentId="8_{B53486DB-2C94-4D55-999F-A673F9390D3F}" xr6:coauthVersionLast="47" xr6:coauthVersionMax="47" xr10:uidLastSave="{81A14884-6B19-464D-94BD-D39EB93DE64B}"/>
  <bookViews>
    <workbookView xWindow="-120" yWindow="-120" windowWidth="29040" windowHeight="15840" xr2:uid="{00000000-000D-0000-FFFF-FFFF00000000}"/>
  </bookViews>
  <sheets>
    <sheet name="Básico" sheetId="1" r:id="rId1"/>
    <sheet name="Intermed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C36" i="2"/>
  <c r="C26" i="1"/>
  <c r="J27" i="1"/>
  <c r="J28" i="1"/>
  <c r="J26" i="1"/>
  <c r="H27" i="1"/>
  <c r="H28" i="1"/>
  <c r="H26" i="1"/>
  <c r="D27" i="1"/>
  <c r="D28" i="1"/>
  <c r="D26" i="1"/>
  <c r="F26" i="1" s="1"/>
  <c r="E27" i="1"/>
  <c r="E28" i="1"/>
  <c r="E26" i="1"/>
  <c r="C27" i="1"/>
  <c r="C28" i="1"/>
  <c r="D36" i="2" l="1"/>
  <c r="E36" i="2" s="1"/>
  <c r="C34" i="2"/>
  <c r="D34" i="2" s="1"/>
  <c r="E34" i="2" s="1"/>
  <c r="C35" i="2"/>
  <c r="F28" i="1"/>
  <c r="I28" i="1" s="1"/>
  <c r="F27" i="1"/>
  <c r="I27" i="1" s="1"/>
  <c r="K27" i="1" s="1"/>
  <c r="M27" i="1" s="1"/>
  <c r="I26" i="1" l="1"/>
  <c r="D35" i="2"/>
  <c r="E35" i="2" s="1"/>
  <c r="K28" i="1"/>
  <c r="M28" i="1" s="1"/>
  <c r="K26" i="1"/>
  <c r="M26" i="1" s="1"/>
</calcChain>
</file>

<file path=xl/sharedStrings.xml><?xml version="1.0" encoding="utf-8"?>
<sst xmlns="http://schemas.openxmlformats.org/spreadsheetml/2006/main" count="101" uniqueCount="93">
  <si>
    <t>CALCULO DE COCOMO BASICO</t>
  </si>
  <si>
    <r>
      <t>Cocomo (COnstructive COst MOdel) es un modelo diseñado por</t>
    </r>
    <r>
      <rPr>
        <b/>
        <sz val="10"/>
        <color rgb="FFFF0000"/>
        <rFont val="Arial"/>
        <family val="2"/>
      </rPr>
      <t xml:space="preserve"> Barry Boehm</t>
    </r>
    <r>
      <rPr>
        <b/>
        <sz val="10"/>
        <color indexed="12"/>
        <rFont val="Arial"/>
        <family val="2"/>
      </rPr>
      <t>, para generar un estimado del número de personas / mes que tomaría</t>
    </r>
  </si>
  <si>
    <t>desarrollar un producto de software.  Se basa en un estudio realizado a 60 proyectos (en la empresa TRW), en donde se estaban desarrollando</t>
  </si>
  <si>
    <t>muchos proyectos.  Los programas que se examinaron, variaban entre las 2,000 y 100,000 líneas de código, en lenguajes que iban desde esamblador y PL/I</t>
  </si>
  <si>
    <t>COCOMO Básico es una variante del modelo COCOMO, el cual puede ser aplicado a tres tipos de proyectos de software:</t>
  </si>
  <si>
    <r>
      <t xml:space="preserve">* </t>
    </r>
    <r>
      <rPr>
        <b/>
        <u/>
        <sz val="10"/>
        <rFont val="Arial"/>
        <family val="2"/>
      </rPr>
      <t>Proyectos orgánicos</t>
    </r>
    <r>
      <rPr>
        <sz val="10"/>
        <rFont val="Arial"/>
        <family val="2"/>
      </rPr>
      <t xml:space="preserve">: son relativamente pequeños, con equipos pequeños de programadores con buena experiencia y con un conjunto de requerimientos </t>
    </r>
  </si>
  <si>
    <t>poco rígidos</t>
  </si>
  <si>
    <r>
      <t xml:space="preserve">* </t>
    </r>
    <r>
      <rPr>
        <b/>
        <u/>
        <sz val="10"/>
        <rFont val="Arial"/>
        <family val="2"/>
      </rPr>
      <t>Proyectos semi-separados</t>
    </r>
    <r>
      <rPr>
        <sz val="10"/>
        <rFont val="Arial"/>
        <family val="2"/>
      </rPr>
      <t xml:space="preserve"> (semi detached), son proyectos intermedios (en tamaño y complejidad) en donde equipos con experiencia y habilidades mixtas deben</t>
    </r>
  </si>
  <si>
    <t>satisfacer un conjunto mixto de requerimientos rígidos y poco rígidos</t>
  </si>
  <si>
    <r>
      <t xml:space="preserve">* </t>
    </r>
    <r>
      <rPr>
        <b/>
        <u/>
        <sz val="10"/>
        <rFont val="Arial"/>
        <family val="2"/>
      </rPr>
      <t>Proyectos anidados</t>
    </r>
    <r>
      <rPr>
        <sz val="10"/>
        <rFont val="Arial"/>
        <family val="2"/>
      </rPr>
      <t xml:space="preserve"> (embedded), son proyectos de software que deben desarrollarse dentro de un conjunto de requerimientos y restricciones muy rígidas de </t>
    </r>
  </si>
  <si>
    <t>hardware, software y operacionales.</t>
  </si>
  <si>
    <t>Las ecuaciones de COCOMO básico toman la forma de:</t>
  </si>
  <si>
    <r>
      <t>Esfuerzo = a1*(Tamaño en KLOCs)</t>
    </r>
    <r>
      <rPr>
        <b/>
        <vertAlign val="superscript"/>
        <sz val="10"/>
        <rFont val="Arial"/>
        <family val="2"/>
      </rPr>
      <t>a2</t>
    </r>
  </si>
  <si>
    <t>(persona-mes) Es la cantidad media de trabajo realizado por un trabajador promedio en un mes.</t>
  </si>
  <si>
    <r>
      <t>Tiempo de Desarrollo = b1*(esfuerzo)</t>
    </r>
    <r>
      <rPr>
        <b/>
        <vertAlign val="superscript"/>
        <sz val="10"/>
        <rFont val="Arial"/>
        <family val="2"/>
      </rPr>
      <t>b2</t>
    </r>
  </si>
  <si>
    <t>(meses)</t>
  </si>
  <si>
    <t>Tamaño del equipo de desarrollo = E / T</t>
  </si>
  <si>
    <t>(personas)</t>
  </si>
  <si>
    <t>KLOC (miles de líneas de código)</t>
  </si>
  <si>
    <t>Esfuerzo</t>
  </si>
  <si>
    <t>Tiempo de desarrollo</t>
  </si>
  <si>
    <t>a1</t>
  </si>
  <si>
    <t>KLOC</t>
  </si>
  <si>
    <t>a2</t>
  </si>
  <si>
    <t>b1</t>
  </si>
  <si>
    <t>b2</t>
  </si>
  <si>
    <t>Tiempo (meses)</t>
  </si>
  <si>
    <t>Tamaño promedio del staff de desarrollo</t>
  </si>
  <si>
    <t>Proyecto orgánico:</t>
  </si>
  <si>
    <t>Proyecto Semi-detached:</t>
  </si>
  <si>
    <t>Proyecto Anidado:</t>
  </si>
  <si>
    <t>Constantes históricas:</t>
  </si>
  <si>
    <t>|</t>
  </si>
  <si>
    <t>Tipo de proyecto de software</t>
  </si>
  <si>
    <t>Orgánico</t>
  </si>
  <si>
    <t>Semi-separado</t>
  </si>
  <si>
    <t>Anidado</t>
  </si>
  <si>
    <t>El COCOMO básico es bueno para cálculos iniciales aproximados, pero su precisión está limitada debido a la falta de factores que tomen en cuenta</t>
  </si>
  <si>
    <r>
      <t xml:space="preserve">las </t>
    </r>
    <r>
      <rPr>
        <b/>
        <u/>
        <sz val="10"/>
        <rFont val="Arial"/>
        <family val="2"/>
      </rPr>
      <t>diferencias técnológicas</t>
    </r>
    <r>
      <rPr>
        <b/>
        <sz val="10"/>
        <rFont val="Arial"/>
        <family val="2"/>
      </rPr>
      <t xml:space="preserve"> en cuanto hardware, calidad y experiencia del personal, uso de herramientas modernas de desarrollo, entre otros</t>
    </r>
  </si>
  <si>
    <t>atributos de los proyectos, que se sabe tienen influencia significativa en los costos.</t>
  </si>
  <si>
    <t>CALCULO DE COCOMO INTERMEDIO</t>
  </si>
  <si>
    <t>Factores de Costo</t>
  </si>
  <si>
    <t>Ratings</t>
  </si>
  <si>
    <t>Muy bajo</t>
  </si>
  <si>
    <t>Bajo</t>
  </si>
  <si>
    <t>Nominal</t>
  </si>
  <si>
    <t>Alto</t>
  </si>
  <si>
    <t>Muy alto</t>
  </si>
  <si>
    <t>Extra Alto</t>
  </si>
  <si>
    <t>El modelo básico de Cocomo considera que el esfuerzo es sólo una función del número de líneas de código y de unas constantes calculadas según los distintos tipos de sistemas de software. 
El modelo COCOMO intermedio reconoce estos hechos y refina las estimaciones iniciales obtenidas a través del modelo COCOMO básico mediante el uso de un conjunto de 15 factores de costos basados en varios atributos de la ingeniería de software.</t>
  </si>
  <si>
    <t>Atributos del producto</t>
  </si>
  <si>
    <t>Confiabilidad requerida del software</t>
  </si>
  <si>
    <t>Tamaño de la base de datos</t>
  </si>
  <si>
    <t>Complejidad del producto</t>
  </si>
  <si>
    <t>Atributos de hardware</t>
  </si>
  <si>
    <t>Restricciones de tiempo de ejecución</t>
  </si>
  <si>
    <t>Restricciones de almacenamiento principal (memoria)</t>
  </si>
  <si>
    <t>Volatilidad de la máquina virtual</t>
  </si>
  <si>
    <t>Tiempo de respuesta del ordenador</t>
  </si>
  <si>
    <t>Atributos del personal de desarrollo</t>
  </si>
  <si>
    <t>Capacidad del analista</t>
  </si>
  <si>
    <t>Capacidad del ingeniero de software</t>
  </si>
  <si>
    <t>Capacidad de los programadores</t>
  </si>
  <si>
    <t>Experiencia en el sistema operativo</t>
  </si>
  <si>
    <t>Experiencia en el lenguaje de programación</t>
  </si>
  <si>
    <t>Atributos del proyecto</t>
  </si>
  <si>
    <t>Uso de herramientas de software</t>
  </si>
  <si>
    <t>Aplicación de métodos de ingeniería de software</t>
  </si>
  <si>
    <t>Restricciones en la planeación del proyecto</t>
  </si>
  <si>
    <t>Fórmula del COCOMO intermedio:</t>
  </si>
  <si>
    <r>
      <t xml:space="preserve">E = </t>
    </r>
    <r>
      <rPr>
        <b/>
        <i/>
        <sz val="10"/>
        <rFont val="Arial"/>
        <family val="2"/>
      </rPr>
      <t>a</t>
    </r>
    <r>
      <rPr>
        <b/>
        <i/>
        <vertAlign val="subscript"/>
        <sz val="10"/>
        <rFont val="Arial"/>
        <family val="2"/>
      </rPr>
      <t>i</t>
    </r>
    <r>
      <rPr>
        <b/>
        <sz val="10"/>
        <rFont val="Arial"/>
        <family val="2"/>
      </rPr>
      <t>(KLOC)</t>
    </r>
    <r>
      <rPr>
        <b/>
        <i/>
        <vertAlign val="superscript"/>
        <sz val="10"/>
        <rFont val="Arial"/>
        <family val="2"/>
      </rPr>
      <t>bi</t>
    </r>
    <r>
      <rPr>
        <b/>
        <i/>
        <sz val="10"/>
        <rFont val="Arial"/>
        <family val="2"/>
      </rPr>
      <t xml:space="preserve"> * </t>
    </r>
    <r>
      <rPr>
        <b/>
        <sz val="10"/>
        <rFont val="Arial"/>
        <family val="2"/>
      </rPr>
      <t>EAF</t>
    </r>
  </si>
  <si>
    <t>EAF =</t>
  </si>
  <si>
    <t>donde:</t>
  </si>
  <si>
    <t>E=</t>
  </si>
  <si>
    <t>Esfuerzo medido en persona / mes</t>
  </si>
  <si>
    <t>KLOC=</t>
  </si>
  <si>
    <t>Miles de lineas de código</t>
  </si>
  <si>
    <t>EAF=</t>
  </si>
  <si>
    <t>Factor de ajuste del esfuerzo (calculado mediante la multiplicatoria de factores de la tabla anterior)</t>
  </si>
  <si>
    <t xml:space="preserve">KLOC = </t>
  </si>
  <si>
    <t>Tiempo</t>
  </si>
  <si>
    <t>Staff</t>
  </si>
  <si>
    <t>Organico</t>
  </si>
  <si>
    <t>Semidetached</t>
  </si>
  <si>
    <t>Detached</t>
  </si>
  <si>
    <t>Coeficientes</t>
  </si>
  <si>
    <t>proyecto de software</t>
  </si>
  <si>
    <t>a</t>
  </si>
  <si>
    <t>b</t>
  </si>
  <si>
    <t>c</t>
  </si>
  <si>
    <t>d</t>
  </si>
  <si>
    <t>Semi-detached</t>
  </si>
  <si>
    <t>Embededd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</si>
</sst>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0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b/>
      <i/>
      <vertAlign val="superscript"/>
      <sz val="1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vertAlign val="superscript"/>
      <sz val="1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 wrapText="1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2" fontId="0" fillId="0" borderId="0" xfId="0" applyNumberFormat="1"/>
    <xf numFmtId="0" fontId="6" fillId="0" borderId="0" xfId="0" applyFont="1" applyAlignment="1">
      <alignment horizontal="right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14" fillId="0" borderId="0" xfId="0" applyFont="1" applyAlignment="1">
      <alignment horizontal="center" wrapText="1"/>
    </xf>
    <xf numFmtId="0" fontId="9" fillId="0" borderId="0" xfId="0" applyFont="1" applyAlignment="1">
      <alignment horizontal="right" wrapText="1"/>
    </xf>
    <xf numFmtId="2" fontId="16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/>
    <xf numFmtId="2" fontId="0" fillId="4" borderId="1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6"/>
  <sheetViews>
    <sheetView showGridLines="0" tabSelected="1" zoomScaleNormal="100" workbookViewId="0">
      <selection activeCell="U23" sqref="U23"/>
    </sheetView>
  </sheetViews>
  <sheetFormatPr baseColWidth="10" defaultColWidth="11.42578125" defaultRowHeight="12.75" x14ac:dyDescent="0.2"/>
  <cols>
    <col min="1" max="1" width="2.7109375" customWidth="1"/>
    <col min="2" max="2" width="27.5703125" customWidth="1"/>
    <col min="3" max="3" width="8.7109375" customWidth="1"/>
    <col min="4" max="5" width="8.5703125" customWidth="1"/>
    <col min="6" max="6" width="11.7109375" customWidth="1"/>
    <col min="7" max="7" width="8.5703125" customWidth="1"/>
    <col min="9" max="9" width="9.85546875" customWidth="1"/>
    <col min="12" max="12" width="5.7109375" customWidth="1"/>
    <col min="13" max="13" width="9.42578125" customWidth="1"/>
  </cols>
  <sheetData>
    <row r="1" spans="2:22" x14ac:dyDescent="0.2">
      <c r="B1" s="1" t="s">
        <v>0</v>
      </c>
    </row>
    <row r="2" spans="2:22" x14ac:dyDescent="0.2">
      <c r="B2" s="1"/>
    </row>
    <row r="3" spans="2:22" x14ac:dyDescent="0.2">
      <c r="B3" s="24" t="s">
        <v>1</v>
      </c>
    </row>
    <row r="4" spans="2:22" x14ac:dyDescent="0.2">
      <c r="B4" s="24" t="s">
        <v>2</v>
      </c>
    </row>
    <row r="5" spans="2:22" x14ac:dyDescent="0.2">
      <c r="B5" s="24" t="s">
        <v>3</v>
      </c>
      <c r="P5" s="26"/>
      <c r="Q5" s="26"/>
      <c r="R5" s="26"/>
      <c r="S5" s="26"/>
      <c r="T5" s="26"/>
      <c r="U5" s="26"/>
      <c r="V5" s="26"/>
    </row>
    <row r="6" spans="2:22" x14ac:dyDescent="0.2">
      <c r="B6" s="1"/>
      <c r="P6" s="26"/>
      <c r="Q6" s="26"/>
      <c r="R6" s="26"/>
      <c r="S6" s="26"/>
      <c r="T6" s="26"/>
      <c r="U6" s="26"/>
      <c r="V6" s="26"/>
    </row>
    <row r="7" spans="2:22" ht="15" x14ac:dyDescent="0.2">
      <c r="B7" s="23" t="s">
        <v>4</v>
      </c>
      <c r="P7" s="26"/>
      <c r="Q7" s="26"/>
      <c r="R7" s="26"/>
      <c r="S7" s="26"/>
      <c r="T7" s="26"/>
      <c r="U7" s="26"/>
      <c r="V7" s="26"/>
    </row>
    <row r="8" spans="2:22" x14ac:dyDescent="0.2">
      <c r="P8" s="26"/>
      <c r="Q8" s="26"/>
      <c r="R8" s="26"/>
      <c r="S8" s="26"/>
      <c r="T8" s="26"/>
      <c r="U8" s="26"/>
      <c r="V8" s="26"/>
    </row>
    <row r="9" spans="2:22" x14ac:dyDescent="0.2">
      <c r="B9" t="s">
        <v>5</v>
      </c>
      <c r="P9" s="26"/>
      <c r="Q9" s="26"/>
      <c r="R9" s="26"/>
      <c r="S9" s="26"/>
      <c r="T9" s="26"/>
      <c r="U9" s="26"/>
      <c r="V9" s="26"/>
    </row>
    <row r="10" spans="2:22" x14ac:dyDescent="0.2">
      <c r="B10" t="s">
        <v>6</v>
      </c>
      <c r="P10" s="26"/>
      <c r="Q10" s="26"/>
      <c r="R10" s="26"/>
      <c r="S10" s="26"/>
      <c r="T10" s="26"/>
      <c r="U10" s="26"/>
      <c r="V10" s="26"/>
    </row>
    <row r="11" spans="2:22" x14ac:dyDescent="0.2">
      <c r="B11" t="s">
        <v>7</v>
      </c>
      <c r="P11" s="26"/>
      <c r="Q11" s="26"/>
      <c r="R11" s="26"/>
      <c r="S11" s="26"/>
      <c r="T11" s="26"/>
      <c r="U11" s="26"/>
      <c r="V11" s="26"/>
    </row>
    <row r="12" spans="2:22" x14ac:dyDescent="0.2">
      <c r="B12" t="s">
        <v>8</v>
      </c>
      <c r="P12" s="26"/>
      <c r="Q12" s="26"/>
      <c r="R12" s="26"/>
      <c r="S12" s="26"/>
      <c r="T12" s="26"/>
      <c r="U12" s="26"/>
      <c r="V12" s="26"/>
    </row>
    <row r="13" spans="2:22" x14ac:dyDescent="0.2">
      <c r="B13" t="s">
        <v>9</v>
      </c>
      <c r="P13" s="26"/>
      <c r="Q13" s="26"/>
      <c r="R13" s="26"/>
      <c r="S13" s="26"/>
      <c r="T13" s="26"/>
      <c r="U13" s="26"/>
      <c r="V13" s="26"/>
    </row>
    <row r="14" spans="2:22" x14ac:dyDescent="0.2">
      <c r="B14" t="s">
        <v>10</v>
      </c>
      <c r="P14" s="26"/>
      <c r="Q14" s="26"/>
      <c r="R14" s="26"/>
      <c r="S14" s="26"/>
      <c r="T14" s="26"/>
      <c r="U14" s="26"/>
      <c r="V14" s="26"/>
    </row>
    <row r="15" spans="2:22" x14ac:dyDescent="0.2">
      <c r="P15" s="26"/>
      <c r="Q15" s="26"/>
      <c r="R15" s="26"/>
      <c r="S15" s="26"/>
      <c r="T15" s="26"/>
      <c r="U15" s="26"/>
      <c r="V15" s="26"/>
    </row>
    <row r="16" spans="2:22" x14ac:dyDescent="0.2">
      <c r="B16" s="1" t="s">
        <v>11</v>
      </c>
      <c r="P16" s="26"/>
      <c r="Q16" s="26"/>
      <c r="R16" s="26"/>
      <c r="S16" s="26"/>
      <c r="T16" s="26"/>
      <c r="U16" s="26"/>
      <c r="V16" s="26"/>
    </row>
    <row r="17" spans="2:22" x14ac:dyDescent="0.2">
      <c r="P17" s="26"/>
      <c r="Q17" s="26"/>
      <c r="R17" s="26"/>
      <c r="S17" s="26"/>
      <c r="T17" s="26"/>
      <c r="U17" s="26"/>
      <c r="V17" s="26"/>
    </row>
    <row r="18" spans="2:22" ht="14.25" x14ac:dyDescent="0.2">
      <c r="B18" s="1" t="s">
        <v>12</v>
      </c>
      <c r="D18" s="26" t="s">
        <v>13</v>
      </c>
      <c r="F18" s="26"/>
      <c r="P18" s="26"/>
      <c r="Q18" s="26"/>
      <c r="R18" s="26"/>
      <c r="S18" s="26"/>
      <c r="T18" s="26"/>
      <c r="U18" s="26"/>
      <c r="V18" s="26"/>
    </row>
    <row r="19" spans="2:22" ht="14.25" x14ac:dyDescent="0.2">
      <c r="B19" s="1" t="s">
        <v>14</v>
      </c>
      <c r="D19" s="26" t="s">
        <v>15</v>
      </c>
      <c r="P19" s="26"/>
      <c r="Q19" s="26"/>
      <c r="R19" s="26"/>
      <c r="S19" s="26"/>
      <c r="T19" s="26"/>
      <c r="U19" s="26"/>
      <c r="V19" s="26"/>
    </row>
    <row r="20" spans="2:22" x14ac:dyDescent="0.2">
      <c r="B20" s="1" t="s">
        <v>16</v>
      </c>
      <c r="C20" s="1"/>
      <c r="D20" t="s">
        <v>17</v>
      </c>
      <c r="H20" s="28"/>
      <c r="P20" s="26"/>
      <c r="Q20" s="26"/>
      <c r="R20" s="26"/>
      <c r="S20" s="26"/>
      <c r="T20" s="26"/>
      <c r="U20" s="26"/>
      <c r="V20" s="26"/>
    </row>
    <row r="21" spans="2:22" x14ac:dyDescent="0.2">
      <c r="H21" s="28"/>
      <c r="P21" s="26"/>
      <c r="Q21" s="26"/>
      <c r="R21" s="26"/>
      <c r="S21" s="26"/>
      <c r="T21" s="26"/>
      <c r="U21" s="26"/>
      <c r="V21" s="26"/>
    </row>
    <row r="22" spans="2:22" ht="18" x14ac:dyDescent="0.25">
      <c r="B22" s="33" t="s">
        <v>18</v>
      </c>
      <c r="E22" s="34">
        <v>1</v>
      </c>
      <c r="H22" s="28"/>
      <c r="P22" s="26"/>
      <c r="Q22" s="26"/>
      <c r="R22" s="26"/>
      <c r="S22" s="26"/>
      <c r="T22" s="26"/>
      <c r="U22" s="26"/>
      <c r="V22" s="26"/>
    </row>
    <row r="23" spans="2:22" ht="18" x14ac:dyDescent="0.25">
      <c r="B23" s="33"/>
      <c r="E23" s="34"/>
      <c r="H23" s="28"/>
      <c r="P23" s="26"/>
      <c r="Q23" s="26"/>
      <c r="R23" s="26"/>
      <c r="S23" s="26"/>
      <c r="T23" s="26"/>
      <c r="U23" s="26"/>
      <c r="V23" s="26"/>
    </row>
    <row r="24" spans="2:22" ht="15.75" x14ac:dyDescent="0.25">
      <c r="B24" s="27"/>
      <c r="C24" s="53" t="s">
        <v>19</v>
      </c>
      <c r="D24" s="53"/>
      <c r="E24" s="53"/>
      <c r="F24" s="53"/>
      <c r="H24" s="53" t="s">
        <v>20</v>
      </c>
      <c r="I24" s="53"/>
      <c r="J24" s="53"/>
      <c r="K24" s="53"/>
      <c r="N24" s="1"/>
      <c r="O24" s="1"/>
      <c r="P24" s="1"/>
      <c r="Q24" s="26"/>
      <c r="R24" s="26"/>
      <c r="S24" s="26"/>
      <c r="T24" s="26"/>
      <c r="U24" s="26"/>
      <c r="V24" s="26"/>
    </row>
    <row r="25" spans="2:22" ht="33" customHeight="1" x14ac:dyDescent="0.2">
      <c r="C25" s="38" t="s">
        <v>21</v>
      </c>
      <c r="D25" s="38" t="s">
        <v>22</v>
      </c>
      <c r="E25" s="38" t="s">
        <v>23</v>
      </c>
      <c r="F25" s="48" t="s">
        <v>19</v>
      </c>
      <c r="H25" s="39" t="s">
        <v>24</v>
      </c>
      <c r="I25" s="39" t="s">
        <v>19</v>
      </c>
      <c r="J25" s="39" t="s">
        <v>25</v>
      </c>
      <c r="K25" s="48" t="s">
        <v>26</v>
      </c>
      <c r="M25" s="37" t="s">
        <v>27</v>
      </c>
      <c r="N25" s="35"/>
      <c r="O25" s="35"/>
      <c r="P25" s="36"/>
      <c r="Q25" s="26"/>
      <c r="R25" s="26"/>
      <c r="S25" s="26"/>
      <c r="T25" s="26"/>
      <c r="U25" s="26"/>
      <c r="V25" s="26"/>
    </row>
    <row r="26" spans="2:22" x14ac:dyDescent="0.2">
      <c r="B26" s="29" t="s">
        <v>28</v>
      </c>
      <c r="C26" s="6">
        <f>D33</f>
        <v>2.4</v>
      </c>
      <c r="D26" s="6">
        <f>$E$22</f>
        <v>1</v>
      </c>
      <c r="E26" s="6">
        <f>E33</f>
        <v>1.05</v>
      </c>
      <c r="F26" s="49">
        <f>C26*D26^E26</f>
        <v>2.4</v>
      </c>
      <c r="H26" s="6">
        <f>F33</f>
        <v>2.5</v>
      </c>
      <c r="I26" s="31">
        <f>F26</f>
        <v>2.4</v>
      </c>
      <c r="J26" s="6">
        <f>G33</f>
        <v>0.38</v>
      </c>
      <c r="K26" s="49">
        <f>H26*I26^J26</f>
        <v>3.4867457524854744</v>
      </c>
      <c r="M26" s="49">
        <f>F26/K26</f>
        <v>0.6883209073357861</v>
      </c>
      <c r="N26" s="30"/>
      <c r="O26" s="30"/>
      <c r="P26" s="30"/>
    </row>
    <row r="27" spans="2:22" x14ac:dyDescent="0.2">
      <c r="B27" s="29" t="s">
        <v>29</v>
      </c>
      <c r="C27" s="6">
        <f t="shared" ref="C27:C28" si="0">D34</f>
        <v>3</v>
      </c>
      <c r="D27" s="6">
        <f>$E$22</f>
        <v>1</v>
      </c>
      <c r="E27" s="6">
        <f t="shared" ref="E27:E28" si="1">E34</f>
        <v>1.1200000000000001</v>
      </c>
      <c r="F27" s="49">
        <f t="shared" ref="F27:F28" si="2">C27*D27^E27</f>
        <v>3</v>
      </c>
      <c r="H27" s="6">
        <f t="shared" ref="H27:H28" si="3">F34</f>
        <v>2.5</v>
      </c>
      <c r="I27" s="31">
        <f t="shared" ref="I27:I28" si="4">F27</f>
        <v>3</v>
      </c>
      <c r="J27" s="6">
        <f t="shared" ref="J27:J28" si="5">G34</f>
        <v>0.35</v>
      </c>
      <c r="K27" s="49">
        <f t="shared" ref="K27:K28" si="6">H27*I27^J27</f>
        <v>3.6722517615001844</v>
      </c>
      <c r="M27" s="49">
        <f t="shared" ref="M27:M28" si="7">F27/K27</f>
        <v>0.81693745277814045</v>
      </c>
      <c r="N27" s="30"/>
      <c r="O27" s="30"/>
      <c r="P27" s="30"/>
    </row>
    <row r="28" spans="2:22" x14ac:dyDescent="0.2">
      <c r="B28" s="29" t="s">
        <v>30</v>
      </c>
      <c r="C28" s="6">
        <f t="shared" si="0"/>
        <v>3.6</v>
      </c>
      <c r="D28" s="6">
        <f>$E$22</f>
        <v>1</v>
      </c>
      <c r="E28" s="6">
        <f t="shared" si="1"/>
        <v>1.2</v>
      </c>
      <c r="F28" s="49">
        <f t="shared" si="2"/>
        <v>3.6</v>
      </c>
      <c r="H28" s="6">
        <f t="shared" si="3"/>
        <v>2.5</v>
      </c>
      <c r="I28" s="31">
        <f t="shared" si="4"/>
        <v>3.6</v>
      </c>
      <c r="J28" s="6">
        <f t="shared" si="5"/>
        <v>0.32</v>
      </c>
      <c r="K28" s="49">
        <f t="shared" si="6"/>
        <v>3.7666633722353353</v>
      </c>
      <c r="M28" s="49">
        <f t="shared" si="7"/>
        <v>0.95575304831755425</v>
      </c>
      <c r="N28" s="30"/>
      <c r="O28" s="30"/>
      <c r="P28" s="30"/>
    </row>
    <row r="29" spans="2:22" x14ac:dyDescent="0.2">
      <c r="B29" s="2"/>
    </row>
    <row r="30" spans="2:22" x14ac:dyDescent="0.2">
      <c r="C30" s="1"/>
      <c r="D30" s="54" t="s">
        <v>31</v>
      </c>
      <c r="E30" s="54"/>
      <c r="F30" s="54"/>
      <c r="G30" s="54"/>
      <c r="H30" s="26"/>
      <c r="I30" s="26"/>
      <c r="J30" s="26"/>
      <c r="K30" s="26"/>
      <c r="L30" s="26"/>
      <c r="M30" s="26"/>
      <c r="N30" s="26"/>
      <c r="O30" s="26"/>
      <c r="P30" s="26"/>
    </row>
    <row r="31" spans="2:22" x14ac:dyDescent="0.2">
      <c r="C31" s="1"/>
      <c r="D31" s="1"/>
      <c r="E31" s="1"/>
      <c r="F31" s="1"/>
      <c r="G31" s="1"/>
      <c r="H31" s="26"/>
      <c r="I31" s="26"/>
      <c r="J31" s="26"/>
      <c r="K31" s="26"/>
      <c r="L31" s="26" t="s">
        <v>32</v>
      </c>
      <c r="M31" s="26"/>
      <c r="N31" s="26"/>
      <c r="O31" s="26"/>
      <c r="P31" s="26"/>
    </row>
    <row r="32" spans="2:22" x14ac:dyDescent="0.2">
      <c r="C32" s="4" t="s">
        <v>33</v>
      </c>
      <c r="D32" s="20" t="s">
        <v>21</v>
      </c>
      <c r="E32" s="20" t="s">
        <v>23</v>
      </c>
      <c r="F32" s="20" t="s">
        <v>24</v>
      </c>
      <c r="G32" s="20" t="s">
        <v>25</v>
      </c>
      <c r="H32" s="26"/>
      <c r="I32" s="26"/>
      <c r="J32" s="26"/>
      <c r="K32" s="26"/>
      <c r="L32" s="26"/>
      <c r="M32" s="26"/>
      <c r="N32" s="26"/>
      <c r="O32" s="26"/>
      <c r="P32" s="26"/>
    </row>
    <row r="33" spans="2:16" x14ac:dyDescent="0.2">
      <c r="C33" s="5" t="s">
        <v>34</v>
      </c>
      <c r="D33" s="21">
        <v>2.4</v>
      </c>
      <c r="E33" s="21">
        <v>1.05</v>
      </c>
      <c r="F33" s="21">
        <v>2.5</v>
      </c>
      <c r="G33" s="21">
        <v>0.38</v>
      </c>
      <c r="H33" s="26"/>
      <c r="I33" s="26"/>
      <c r="J33" s="26"/>
      <c r="K33" s="26"/>
      <c r="L33" s="26"/>
      <c r="M33" s="26"/>
      <c r="N33" s="26"/>
      <c r="O33" s="26"/>
      <c r="P33" s="26"/>
    </row>
    <row r="34" spans="2:16" x14ac:dyDescent="0.2">
      <c r="C34" s="5" t="s">
        <v>35</v>
      </c>
      <c r="D34" s="22">
        <v>3</v>
      </c>
      <c r="E34" s="22">
        <v>1.1200000000000001</v>
      </c>
      <c r="F34" s="22">
        <v>2.5</v>
      </c>
      <c r="G34" s="22">
        <v>0.35</v>
      </c>
      <c r="H34" s="26"/>
      <c r="I34" s="26"/>
      <c r="J34" s="26"/>
      <c r="K34" s="26"/>
      <c r="L34" s="26"/>
      <c r="M34" s="26"/>
      <c r="N34" s="26"/>
      <c r="O34" s="26"/>
      <c r="P34" s="26"/>
    </row>
    <row r="35" spans="2:16" x14ac:dyDescent="0.2">
      <c r="C35" s="5" t="s">
        <v>36</v>
      </c>
      <c r="D35" s="22">
        <v>3.6</v>
      </c>
      <c r="E35" s="22">
        <v>1.2</v>
      </c>
      <c r="F35" s="22">
        <v>2.5</v>
      </c>
      <c r="G35" s="22">
        <v>0.32</v>
      </c>
      <c r="H35" s="26"/>
      <c r="I35" s="26"/>
      <c r="J35" s="26"/>
      <c r="K35" s="26"/>
      <c r="L35" s="26"/>
      <c r="M35" s="26"/>
      <c r="N35" s="26"/>
      <c r="O35" s="26"/>
      <c r="P35" s="26"/>
    </row>
    <row r="36" spans="2:16" x14ac:dyDescent="0.2">
      <c r="C36" s="1"/>
      <c r="D36" s="1"/>
      <c r="E36" s="1"/>
      <c r="F36" s="1"/>
      <c r="G36" s="1"/>
      <c r="I36" s="26"/>
      <c r="J36" s="26"/>
      <c r="K36" s="26"/>
      <c r="L36" s="26"/>
      <c r="M36" s="26"/>
      <c r="N36" s="26"/>
    </row>
    <row r="38" spans="2:16" x14ac:dyDescent="0.2">
      <c r="B38" s="18" t="s">
        <v>37</v>
      </c>
    </row>
    <row r="39" spans="2:16" x14ac:dyDescent="0.2">
      <c r="B39" s="1" t="s">
        <v>38</v>
      </c>
    </row>
    <row r="40" spans="2:16" x14ac:dyDescent="0.2">
      <c r="B40" s="1" t="s">
        <v>39</v>
      </c>
    </row>
    <row r="41" spans="2:16" x14ac:dyDescent="0.2">
      <c r="B41" s="15"/>
      <c r="C41" s="18"/>
    </row>
    <row r="42" spans="2:16" x14ac:dyDescent="0.2">
      <c r="B42" s="15"/>
      <c r="C42" s="18"/>
    </row>
    <row r="43" spans="2:16" x14ac:dyDescent="0.2">
      <c r="B43" s="15"/>
      <c r="C43" s="19"/>
    </row>
    <row r="44" spans="2:16" x14ac:dyDescent="0.2">
      <c r="B44" s="15"/>
      <c r="C44" s="19"/>
    </row>
    <row r="45" spans="2:16" x14ac:dyDescent="0.2">
      <c r="B45" s="15"/>
      <c r="C45" s="16"/>
    </row>
    <row r="46" spans="2:16" x14ac:dyDescent="0.2">
      <c r="B46" s="15"/>
      <c r="C46" s="17"/>
    </row>
  </sheetData>
  <mergeCells count="3">
    <mergeCell ref="C24:F24"/>
    <mergeCell ref="H24:K24"/>
    <mergeCell ref="D30:G30"/>
  </mergeCells>
  <phoneticPr fontId="7" type="noConversion"/>
  <pageMargins left="0.75" right="0.75" top="1" bottom="1" header="0" footer="0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3"/>
  <sheetViews>
    <sheetView showGridLines="0" zoomScaleNormal="100" workbookViewId="0">
      <selection activeCell="J2" sqref="J2"/>
    </sheetView>
  </sheetViews>
  <sheetFormatPr baseColWidth="10" defaultColWidth="11.42578125" defaultRowHeight="12.75" x14ac:dyDescent="0.2"/>
  <cols>
    <col min="1" max="1" width="2.7109375" customWidth="1"/>
    <col min="2" max="2" width="46.85546875" customWidth="1"/>
    <col min="3" max="3" width="10.7109375" customWidth="1"/>
    <col min="4" max="4" width="9.140625" customWidth="1"/>
    <col min="5" max="5" width="9.28515625" customWidth="1"/>
    <col min="6" max="6" width="9.5703125" customWidth="1"/>
    <col min="7" max="7" width="10.140625" customWidth="1"/>
    <col min="8" max="8" width="10.85546875" customWidth="1"/>
    <col min="9" max="9" width="2.5703125" customWidth="1"/>
  </cols>
  <sheetData>
    <row r="1" spans="2:12" x14ac:dyDescent="0.2">
      <c r="B1" s="32" t="s">
        <v>40</v>
      </c>
    </row>
    <row r="3" spans="2:12" ht="12.75" customHeight="1" x14ac:dyDescent="0.2">
      <c r="B3" s="55" t="s">
        <v>41</v>
      </c>
      <c r="C3" s="55" t="s">
        <v>42</v>
      </c>
      <c r="D3" s="55"/>
      <c r="E3" s="55"/>
      <c r="F3" s="55"/>
      <c r="G3" s="55"/>
      <c r="H3" s="55"/>
    </row>
    <row r="4" spans="2:12" x14ac:dyDescent="0.2">
      <c r="B4" s="55"/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J4" s="58" t="s">
        <v>49</v>
      </c>
      <c r="K4" s="58"/>
      <c r="L4" s="58"/>
    </row>
    <row r="5" spans="2:12" x14ac:dyDescent="0.2">
      <c r="B5" s="45" t="s">
        <v>50</v>
      </c>
      <c r="C5" s="9"/>
      <c r="D5" s="9"/>
      <c r="E5" s="9"/>
      <c r="F5" s="9"/>
      <c r="G5" s="9"/>
      <c r="H5" s="9"/>
      <c r="J5" s="58"/>
      <c r="K5" s="58"/>
      <c r="L5" s="58"/>
    </row>
    <row r="6" spans="2:12" x14ac:dyDescent="0.2">
      <c r="B6" s="46" t="s">
        <v>51</v>
      </c>
      <c r="C6" s="10">
        <v>0.75</v>
      </c>
      <c r="D6" s="10">
        <v>0.88</v>
      </c>
      <c r="E6" s="10">
        <v>1</v>
      </c>
      <c r="F6" s="10">
        <v>1.1499999999999999</v>
      </c>
      <c r="G6" s="10">
        <v>1.4</v>
      </c>
      <c r="H6" s="8"/>
      <c r="J6" s="58"/>
      <c r="K6" s="58"/>
      <c r="L6" s="58"/>
    </row>
    <row r="7" spans="2:12" x14ac:dyDescent="0.2">
      <c r="B7" s="46" t="s">
        <v>52</v>
      </c>
      <c r="C7" s="10"/>
      <c r="D7" s="10">
        <v>0.94</v>
      </c>
      <c r="E7" s="10">
        <v>1</v>
      </c>
      <c r="F7" s="10">
        <v>1.08</v>
      </c>
      <c r="G7" s="10">
        <v>1.1599999999999999</v>
      </c>
      <c r="H7" s="8"/>
      <c r="J7" s="58"/>
      <c r="K7" s="58"/>
      <c r="L7" s="58"/>
    </row>
    <row r="8" spans="2:12" x14ac:dyDescent="0.2">
      <c r="B8" s="46" t="s">
        <v>53</v>
      </c>
      <c r="C8" s="10">
        <v>0.7</v>
      </c>
      <c r="D8" s="10">
        <v>0.85</v>
      </c>
      <c r="E8" s="10">
        <v>1</v>
      </c>
      <c r="F8" s="10">
        <v>1.1499999999999999</v>
      </c>
      <c r="G8" s="10">
        <v>1.3</v>
      </c>
      <c r="H8" s="10">
        <v>1.65</v>
      </c>
      <c r="J8" s="58"/>
      <c r="K8" s="58"/>
      <c r="L8" s="58"/>
    </row>
    <row r="9" spans="2:12" x14ac:dyDescent="0.2">
      <c r="B9" s="45" t="s">
        <v>54</v>
      </c>
      <c r="C9" s="8"/>
      <c r="D9" s="8"/>
      <c r="E9" s="8"/>
      <c r="F9" s="8"/>
      <c r="G9" s="8"/>
      <c r="H9" s="8"/>
      <c r="J9" s="58"/>
      <c r="K9" s="58"/>
      <c r="L9" s="58"/>
    </row>
    <row r="10" spans="2:12" x14ac:dyDescent="0.2">
      <c r="B10" s="46" t="s">
        <v>55</v>
      </c>
      <c r="C10" s="10"/>
      <c r="D10" s="10"/>
      <c r="E10" s="10">
        <v>1</v>
      </c>
      <c r="F10" s="10">
        <v>1.1100000000000001</v>
      </c>
      <c r="G10" s="10">
        <v>1.3</v>
      </c>
      <c r="H10" s="10">
        <v>1.66</v>
      </c>
      <c r="J10" s="58"/>
      <c r="K10" s="58"/>
      <c r="L10" s="58"/>
    </row>
    <row r="11" spans="2:12" x14ac:dyDescent="0.2">
      <c r="B11" s="46" t="s">
        <v>56</v>
      </c>
      <c r="C11" s="10"/>
      <c r="D11" s="10"/>
      <c r="E11" s="10">
        <v>1</v>
      </c>
      <c r="F11" s="10">
        <v>1.06</v>
      </c>
      <c r="G11" s="10">
        <v>1.21</v>
      </c>
      <c r="H11" s="10">
        <v>1.56</v>
      </c>
      <c r="J11" s="58"/>
      <c r="K11" s="58"/>
      <c r="L11" s="58"/>
    </row>
    <row r="12" spans="2:12" x14ac:dyDescent="0.2">
      <c r="B12" s="46" t="s">
        <v>57</v>
      </c>
      <c r="C12" s="10"/>
      <c r="D12" s="10">
        <v>0.87</v>
      </c>
      <c r="E12" s="10">
        <v>1</v>
      </c>
      <c r="F12" s="10">
        <v>1.1499999999999999</v>
      </c>
      <c r="G12" s="10">
        <v>1.3</v>
      </c>
      <c r="H12" s="8"/>
      <c r="J12" s="58"/>
      <c r="K12" s="58"/>
      <c r="L12" s="58"/>
    </row>
    <row r="13" spans="2:12" x14ac:dyDescent="0.2">
      <c r="B13" s="47" t="s">
        <v>58</v>
      </c>
      <c r="C13" s="10"/>
      <c r="D13" s="10">
        <v>0.87</v>
      </c>
      <c r="E13" s="10">
        <v>1</v>
      </c>
      <c r="F13" s="10">
        <v>1.07</v>
      </c>
      <c r="G13" s="10">
        <v>1.1499999999999999</v>
      </c>
      <c r="H13" s="8"/>
      <c r="J13" s="58"/>
      <c r="K13" s="58"/>
      <c r="L13" s="58"/>
    </row>
    <row r="14" spans="2:12" x14ac:dyDescent="0.2">
      <c r="B14" s="45" t="s">
        <v>59</v>
      </c>
      <c r="C14" s="8"/>
      <c r="D14" s="8"/>
      <c r="E14" s="8"/>
      <c r="F14" s="8"/>
      <c r="G14" s="8"/>
      <c r="H14" s="8"/>
      <c r="J14" s="58"/>
      <c r="K14" s="58"/>
      <c r="L14" s="58"/>
    </row>
    <row r="15" spans="2:12" x14ac:dyDescent="0.2">
      <c r="B15" s="46" t="s">
        <v>60</v>
      </c>
      <c r="C15" s="10">
        <v>1.46</v>
      </c>
      <c r="D15" s="10">
        <v>1.19</v>
      </c>
      <c r="E15" s="10">
        <v>1</v>
      </c>
      <c r="F15" s="10">
        <v>0.86</v>
      </c>
      <c r="G15" s="10">
        <v>0.71</v>
      </c>
      <c r="H15" s="8"/>
      <c r="J15" s="58"/>
      <c r="K15" s="58"/>
      <c r="L15" s="58"/>
    </row>
    <row r="16" spans="2:12" x14ac:dyDescent="0.2">
      <c r="B16" s="46" t="s">
        <v>61</v>
      </c>
      <c r="C16" s="10">
        <v>1.29</v>
      </c>
      <c r="D16" s="10">
        <v>1.1299999999999999</v>
      </c>
      <c r="E16" s="10">
        <v>1</v>
      </c>
      <c r="F16" s="10">
        <v>0.91</v>
      </c>
      <c r="G16" s="10">
        <v>0.82</v>
      </c>
      <c r="H16" s="8"/>
      <c r="J16" s="58"/>
      <c r="K16" s="58"/>
      <c r="L16" s="58"/>
    </row>
    <row r="17" spans="2:12" x14ac:dyDescent="0.2">
      <c r="B17" s="46" t="s">
        <v>62</v>
      </c>
      <c r="C17" s="10">
        <v>1.42</v>
      </c>
      <c r="D17" s="10">
        <v>1.17</v>
      </c>
      <c r="E17" s="10">
        <v>1</v>
      </c>
      <c r="F17" s="10">
        <v>0.86</v>
      </c>
      <c r="G17" s="10">
        <v>0.7</v>
      </c>
      <c r="H17" s="8"/>
      <c r="J17" s="58"/>
      <c r="K17" s="58"/>
      <c r="L17" s="58"/>
    </row>
    <row r="18" spans="2:12" x14ac:dyDescent="0.2">
      <c r="B18" s="46" t="s">
        <v>63</v>
      </c>
      <c r="C18" s="10">
        <v>1.21</v>
      </c>
      <c r="D18" s="10">
        <v>1.1000000000000001</v>
      </c>
      <c r="E18" s="10">
        <v>1</v>
      </c>
      <c r="F18" s="10">
        <v>0.9</v>
      </c>
      <c r="G18" s="8"/>
      <c r="H18" s="8"/>
      <c r="J18" s="58"/>
      <c r="K18" s="58"/>
      <c r="L18" s="58"/>
    </row>
    <row r="19" spans="2:12" x14ac:dyDescent="0.2">
      <c r="B19" s="46" t="s">
        <v>64</v>
      </c>
      <c r="C19" s="10">
        <v>1.1399999999999999</v>
      </c>
      <c r="D19" s="10">
        <v>1.07</v>
      </c>
      <c r="E19" s="10">
        <v>1</v>
      </c>
      <c r="F19" s="10">
        <v>0.95</v>
      </c>
      <c r="G19" s="8"/>
      <c r="H19" s="8"/>
      <c r="J19" s="58"/>
      <c r="K19" s="58"/>
      <c r="L19" s="58"/>
    </row>
    <row r="20" spans="2:12" x14ac:dyDescent="0.2">
      <c r="B20" s="45" t="s">
        <v>65</v>
      </c>
      <c r="C20" s="8"/>
      <c r="D20" s="8"/>
      <c r="E20" s="8"/>
      <c r="F20" s="8"/>
      <c r="G20" s="8"/>
      <c r="H20" s="8"/>
      <c r="J20" s="58"/>
      <c r="K20" s="58"/>
      <c r="L20" s="58"/>
    </row>
    <row r="21" spans="2:12" x14ac:dyDescent="0.2">
      <c r="B21" s="46" t="s">
        <v>66</v>
      </c>
      <c r="C21" s="10">
        <v>1.24</v>
      </c>
      <c r="D21" s="10">
        <v>1.1000000000000001</v>
      </c>
      <c r="E21" s="10">
        <v>1</v>
      </c>
      <c r="F21" s="10">
        <v>0.91</v>
      </c>
      <c r="G21" s="10">
        <v>0.82</v>
      </c>
      <c r="H21" s="8"/>
      <c r="J21" s="58"/>
      <c r="K21" s="58"/>
      <c r="L21" s="58"/>
    </row>
    <row r="22" spans="2:12" x14ac:dyDescent="0.2">
      <c r="B22" s="46" t="s">
        <v>67</v>
      </c>
      <c r="C22" s="10">
        <v>1.24</v>
      </c>
      <c r="D22" s="10">
        <v>1.1000000000000001</v>
      </c>
      <c r="E22" s="10">
        <v>1</v>
      </c>
      <c r="F22" s="10">
        <v>0.91</v>
      </c>
      <c r="G22" s="10">
        <v>0.83</v>
      </c>
      <c r="H22" s="8"/>
      <c r="J22" s="58"/>
      <c r="K22" s="58"/>
      <c r="L22" s="58"/>
    </row>
    <row r="23" spans="2:12" x14ac:dyDescent="0.2">
      <c r="B23" s="46" t="s">
        <v>68</v>
      </c>
      <c r="C23" s="10">
        <v>1.23</v>
      </c>
      <c r="D23" s="10">
        <v>1.08</v>
      </c>
      <c r="E23" s="10">
        <v>1</v>
      </c>
      <c r="F23" s="10">
        <v>1.04</v>
      </c>
      <c r="G23" s="10">
        <v>1.1000000000000001</v>
      </c>
      <c r="H23" s="8"/>
      <c r="J23" s="58"/>
      <c r="K23" s="58"/>
      <c r="L23" s="58"/>
    </row>
    <row r="25" spans="2:12" ht="15" x14ac:dyDescent="0.25">
      <c r="B25" s="40" t="s">
        <v>69</v>
      </c>
      <c r="C25" s="1" t="s">
        <v>70</v>
      </c>
      <c r="F25" s="41" t="s">
        <v>71</v>
      </c>
      <c r="G25" s="43">
        <f>E6*F7*F8*E10*E11*E11*E12*D13*E15*E16*E17*E18*E19*F21*F22*E23</f>
        <v>0.89479517400000008</v>
      </c>
    </row>
    <row r="26" spans="2:12" x14ac:dyDescent="0.2">
      <c r="B26" s="40" t="s">
        <v>72</v>
      </c>
    </row>
    <row r="27" spans="2:12" x14ac:dyDescent="0.2">
      <c r="B27" s="3" t="s">
        <v>73</v>
      </c>
      <c r="C27" t="s">
        <v>74</v>
      </c>
    </row>
    <row r="28" spans="2:12" x14ac:dyDescent="0.2">
      <c r="B28" s="3" t="s">
        <v>75</v>
      </c>
      <c r="C28" t="s">
        <v>76</v>
      </c>
    </row>
    <row r="29" spans="2:12" x14ac:dyDescent="0.2">
      <c r="B29" s="3" t="s">
        <v>77</v>
      </c>
      <c r="C29" t="s">
        <v>78</v>
      </c>
    </row>
    <row r="30" spans="2:12" x14ac:dyDescent="0.2">
      <c r="B30" s="3"/>
    </row>
    <row r="31" spans="2:12" ht="15.75" x14ac:dyDescent="0.25">
      <c r="B31" s="42" t="s">
        <v>79</v>
      </c>
      <c r="C31" s="44">
        <v>1</v>
      </c>
    </row>
    <row r="32" spans="2:12" x14ac:dyDescent="0.2">
      <c r="B32" s="3"/>
      <c r="C32" s="28"/>
    </row>
    <row r="33" spans="2:6" x14ac:dyDescent="0.2">
      <c r="B33" s="3"/>
      <c r="C33" s="52" t="s">
        <v>19</v>
      </c>
      <c r="D33" s="52" t="s">
        <v>80</v>
      </c>
      <c r="E33" s="52" t="s">
        <v>81</v>
      </c>
    </row>
    <row r="34" spans="2:6" x14ac:dyDescent="0.2">
      <c r="B34" s="11" t="s">
        <v>82</v>
      </c>
      <c r="C34" s="50">
        <f>C40*$C$31^D40*$G$25</f>
        <v>2.1475084176000001</v>
      </c>
      <c r="D34" s="51">
        <f>E40*C34^F40</f>
        <v>3.3425295940380262</v>
      </c>
      <c r="E34" s="51">
        <f>C34/D34</f>
        <v>0.64248000120341464</v>
      </c>
    </row>
    <row r="35" spans="2:6" x14ac:dyDescent="0.2">
      <c r="B35" s="11" t="s">
        <v>83</v>
      </c>
      <c r="C35" s="50">
        <f>C41*$C$31^D41*$G$25</f>
        <v>2.6843855220000004</v>
      </c>
      <c r="D35" s="51">
        <f>E41*C35^F41</f>
        <v>3.5321221923551964</v>
      </c>
      <c r="E35" s="51">
        <f t="shared" ref="E35:E36" si="0">C35/D35</f>
        <v>0.75999225842469209</v>
      </c>
    </row>
    <row r="36" spans="2:6" x14ac:dyDescent="0.2">
      <c r="B36" s="11" t="s">
        <v>84</v>
      </c>
      <c r="C36" s="50">
        <f>C42*$C$31^D42*$G$25</f>
        <v>3.2212626264000002</v>
      </c>
      <c r="D36" s="51">
        <f>E42*C36^F42</f>
        <v>3.6350331140987251</v>
      </c>
      <c r="E36" s="51">
        <f t="shared" si="0"/>
        <v>0.8861714667484355</v>
      </c>
    </row>
    <row r="37" spans="2:6" x14ac:dyDescent="0.2">
      <c r="B37" s="3"/>
    </row>
    <row r="38" spans="2:6" x14ac:dyDescent="0.2">
      <c r="C38" s="56" t="s">
        <v>85</v>
      </c>
      <c r="D38" s="57"/>
      <c r="E38" s="57"/>
      <c r="F38" s="57"/>
    </row>
    <row r="39" spans="2:6" x14ac:dyDescent="0.2">
      <c r="B39" s="12" t="s">
        <v>86</v>
      </c>
      <c r="C39" s="13" t="s">
        <v>87</v>
      </c>
      <c r="D39" s="13" t="s">
        <v>88</v>
      </c>
      <c r="E39" s="13" t="s">
        <v>89</v>
      </c>
      <c r="F39" s="13" t="s">
        <v>90</v>
      </c>
    </row>
    <row r="40" spans="2:6" x14ac:dyDescent="0.2">
      <c r="B40" s="14" t="s">
        <v>82</v>
      </c>
      <c r="C40" s="6">
        <v>2.4</v>
      </c>
      <c r="D40" s="6">
        <v>1.05</v>
      </c>
      <c r="E40" s="6">
        <v>2.5</v>
      </c>
      <c r="F40" s="6">
        <v>0.38</v>
      </c>
    </row>
    <row r="41" spans="2:6" x14ac:dyDescent="0.2">
      <c r="B41" s="14" t="s">
        <v>91</v>
      </c>
      <c r="C41" s="6">
        <v>3</v>
      </c>
      <c r="D41" s="6">
        <v>1.1200000000000001</v>
      </c>
      <c r="E41" s="6">
        <v>2.5</v>
      </c>
      <c r="F41" s="6">
        <v>0.35</v>
      </c>
    </row>
    <row r="42" spans="2:6" x14ac:dyDescent="0.2">
      <c r="B42" s="14" t="s">
        <v>92</v>
      </c>
      <c r="C42" s="6">
        <v>3.6</v>
      </c>
      <c r="D42" s="6">
        <v>1.2</v>
      </c>
      <c r="E42" s="6">
        <v>2.5</v>
      </c>
      <c r="F42" s="6">
        <v>0.32</v>
      </c>
    </row>
    <row r="43" spans="2:6" x14ac:dyDescent="0.2">
      <c r="B43" s="15"/>
      <c r="C43" s="25"/>
    </row>
  </sheetData>
  <mergeCells count="4">
    <mergeCell ref="B3:B4"/>
    <mergeCell ref="C3:H3"/>
    <mergeCell ref="C38:F38"/>
    <mergeCell ref="J4:L23"/>
  </mergeCells>
  <phoneticPr fontId="7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Básico</vt:lpstr>
      <vt:lpstr>Intermedio</vt:lpstr>
    </vt:vector>
  </TitlesOfParts>
  <Manager/>
  <Company>UNIVERSIDAD AUTONOMA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AREVALO</dc:creator>
  <cp:keywords/>
  <dc:description/>
  <cp:lastModifiedBy>CARLOS ARGELIO AREVALO MERCADO</cp:lastModifiedBy>
  <cp:revision/>
  <dcterms:created xsi:type="dcterms:W3CDTF">2006-02-23T18:39:14Z</dcterms:created>
  <dcterms:modified xsi:type="dcterms:W3CDTF">2025-02-07T21:05:07Z</dcterms:modified>
  <cp:category/>
  <cp:contentStatus/>
</cp:coreProperties>
</file>